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no/Desktop/250728-_Depression/NSFT/"/>
    </mc:Choice>
  </mc:AlternateContent>
  <xr:revisionPtr revIDLastSave="0" documentId="13_ncr:1_{655467BD-FAB3-8140-BE1D-0661A18874B6}" xr6:coauthVersionLast="47" xr6:coauthVersionMax="47" xr10:uidLastSave="{00000000-0000-0000-0000-000000000000}"/>
  <bookViews>
    <workbookView xWindow="35840" yWindow="500" windowWidth="38400" windowHeight="21100" xr2:uid="{9B04F935-8A9D-134B-8DD1-90F325C055BE}"/>
  </bookViews>
  <sheets>
    <sheet name="NS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<sst xmlns="http://schemas.openxmlformats.org/spreadsheetml/2006/main" count="166" uniqueCount="60">
  <si>
    <t>A01</t>
    <phoneticPr fontId="18"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</si>
  <si>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</si>
  <si>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</si>
  <si>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</si>
  <si>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</si>
  <si>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</si>
  <si>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</si>
  <si>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</si>
  <si>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</si>
  <si>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</si>
  <si>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B01</t>
    <phoneticPr fontId="18"/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</si>
  <si>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</si>
  <si>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</si>
  <si>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</si>
  <si>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</si>
  <si>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</si>
  <si>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</si>
  <si>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</si>
  <si>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</si>
  <si>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</si>
  <si>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C01</t>
    <phoneticPr fontId="18"/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</si>
  <si>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</si>
  <si>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</si>
  <si>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</si>
  <si>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</si>
  <si>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</si>
  <si>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</si>
  <si>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</si>
  <si>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</si>
  <si>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</si>
  <si>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MouseID</t>
    <phoneticPr fontId="18"/>
  </si>
  <si>
    <t>StimType</t>
    <phoneticPr fontId="18"/>
  </si>
  <si>
    <t>WeightLoss_%</t>
    <phoneticPr fontId="18"/>
  </si>
  <si>
    <t>Weight (2025/8/28; 9:00)</t>
    <phoneticPr fontId="18"/>
  </si>
  <si>
    <t>Weight (2025/8/29; 9:00)</t>
    <phoneticPr fontId="18"/>
  </si>
  <si>
    <t>Sex</t>
    <phoneticPr fontId="18"/>
  </si>
  <si>
    <t>Age</t>
    <phoneticPr fontId="18"/>
  </si>
  <si>
    <t>male</t>
    <phoneticPr fontId="18"/>
  </si>
  <si>
    <t>female</t>
    <phoneticPr fontId="18"/>
  </si>
  <si>
    <t>light_lux</t>
    <phoneticPr fontId="18"/>
  </si>
  <si>
    <t>Run_order</t>
    <phoneticPr fontId="18"/>
  </si>
  <si>
    <t>Censoring</t>
    <phoneticPr fontId="18"/>
  </si>
  <si>
    <t>OF_Distance_cm</t>
    <phoneticPr fontId="18"/>
  </si>
  <si>
    <t>OF_Latency_sec</t>
    <phoneticPr fontId="18"/>
  </si>
  <si>
    <t>OF_CenterTime_sec</t>
    <phoneticPr fontId="18"/>
  </si>
  <si>
    <t>Cage_in</t>
    <phoneticPr fontId="18"/>
  </si>
  <si>
    <t>Exp_start</t>
    <phoneticPr fontId="18"/>
  </si>
  <si>
    <t>2025/8/29_8:30</t>
    <phoneticPr fontId="18"/>
  </si>
  <si>
    <t>2025/8/29_8:40</t>
    <phoneticPr fontId="18"/>
  </si>
  <si>
    <t>2025/8/29_9:25</t>
    <phoneticPr fontId="18"/>
  </si>
  <si>
    <t>2025/8/29_9:50</t>
    <phoneticPr fontId="18"/>
  </si>
  <si>
    <t>2025/8/29_8:45</t>
    <phoneticPr fontId="18"/>
  </si>
  <si>
    <t>2025/8/29_9:10</t>
    <phoneticPr fontId="18"/>
  </si>
  <si>
    <t>2025/8/29_9:30</t>
    <phoneticPr fontId="18"/>
  </si>
  <si>
    <t>2025/8/29_10:10</t>
    <phoneticPr fontId="18"/>
  </si>
  <si>
    <t>2025/8/29_10:30</t>
    <phoneticPr fontId="18"/>
  </si>
  <si>
    <t>HC_Feeding_latency</t>
    <phoneticPr fontId="18"/>
  </si>
  <si>
    <t>NoStim</t>
    <phoneticPr fontId="18"/>
  </si>
  <si>
    <t>Stimx3</t>
    <phoneticPr fontId="18"/>
  </si>
  <si>
    <t>Stimx10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</si>
</sst>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_ "/>
    <numFmt numFmtId="178" formatCode="0_ "/>
  </numFmts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Osaka"/>
      <family val="2"/>
      <charset val="128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28">
    <xf numFmtId="0" fontId="0" fillId="0" borderId="0" xfId="0">
      <alignment vertical="center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178" fontId="20" fillId="0" borderId="19" xfId="0" applyNumberFormat="1" applyFont="1" applyBorder="1">
      <alignment vertical="center"/>
    </xf>
    <xf numFmtId="177" fontId="20" fillId="0" borderId="19" xfId="0" applyNumberFormat="1" applyFont="1" applyBorder="1">
      <alignment vertical="center"/>
    </xf>
    <xf numFmtId="0" fontId="20" fillId="0" borderId="20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>
      <alignment vertical="center"/>
    </xf>
    <xf numFmtId="176" fontId="20" fillId="0" borderId="0" xfId="0" applyNumberFormat="1" applyFont="1" applyAlignment="1">
      <alignment horizontal="center" vertical="center"/>
    </xf>
    <xf numFmtId="178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0" fontId="20" fillId="0" borderId="15" xfId="0" applyFont="1" applyBorder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3" xfId="0" applyFont="1" applyBorder="1">
      <alignment vertical="center"/>
    </xf>
    <xf numFmtId="176" fontId="20" fillId="0" borderId="13" xfId="0" applyNumberFormat="1" applyFont="1" applyBorder="1" applyAlignment="1">
      <alignment horizontal="center" vertical="center"/>
    </xf>
    <xf numFmtId="178" fontId="20" fillId="0" borderId="13" xfId="0" applyNumberFormat="1" applyFont="1" applyBorder="1">
      <alignment vertical="center"/>
    </xf>
    <xf numFmtId="177" fontId="20" fillId="0" borderId="13" xfId="0" applyNumberFormat="1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16" xfId="0" applyFont="1" applyBorder="1">
      <alignment vertical="center"/>
    </xf>
    <xf numFmtId="176" fontId="20" fillId="0" borderId="16" xfId="0" applyNumberFormat="1" applyFont="1" applyBorder="1" applyAlignment="1">
      <alignment horizontal="center" vertical="center"/>
    </xf>
    <xf numFmtId="178" fontId="20" fillId="0" borderId="16" xfId="0" applyNumberFormat="1" applyFont="1" applyBorder="1">
      <alignment vertical="center"/>
    </xf>
    <xf numFmtId="177" fontId="20" fillId="0" borderId="16" xfId="0" applyNumberFormat="1" applyFont="1" applyBorder="1">
      <alignment vertical="center"/>
    </xf>
    <xf numFmtId="0" fontId="20" fillId="0" borderId="17" xfId="0" applyFont="1" applyBorder="1">
      <alignment vertical="center"/>
    </xf>
    <xf numFmtId="0" fontId="20" fillId="0" borderId="19" xfId="0" applyFont="1" applyFill="1" applyBorder="1">
      <alignment vertical="center"/>
    </xf>
    <xf numFmtId="0" fontId="20" fillId="0" borderId="0" xfId="0" applyFont="1" applyFill="1">
      <alignment vertical="center"/>
    </xf>
    <xf numFmtId="0" fontId="20" fillId="0" borderId="13" xfId="0" applyFont="1" applyFill="1" applyBorder="1">
      <alignment vertical="center"/>
    </xf>
    <xf numFmtId="0" fontId="20" fillId="0" borderId="16" xfId="0" applyFont="1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E6EF45BA-C2AD-FE41-817A-EF690A325A95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4F6-E097-2E48-A03A-7188892E7501}">
  <dimension ref="A1:P31"/>
  <sheetViews>
    <sheetView tabSelected="1" workbookViewId="0">
      <selection activeCell="I1" sqref="I1:I1048576"/>
    </sheetView>
  </sheetViews>
  <sheetFormatPr baseColWidth="10" defaultRowHeight="20"/>
  <cols>
    <col min="1" max="1" width="8.7109375" style="7" bestFit="1" customWidth="1"/>
    <col min="2" max="2" width="7" style="7" bestFit="1" customWidth="1"/>
    <col min="3" max="3" width="5.28515625" style="7" bestFit="1" customWidth="1"/>
    <col min="4" max="4" width="9" style="9" bestFit="1" customWidth="1"/>
    <col min="5" max="5" width="8.28515625" style="7" bestFit="1" customWidth="1"/>
    <col min="6" max="6" width="14.140625" style="7" bestFit="1" customWidth="1"/>
    <col min="7" max="7" width="15.28515625" style="7" bestFit="1" customWidth="1"/>
    <col min="8" max="8" width="10.140625" style="7" bestFit="1" customWidth="1"/>
    <col min="9" max="9" width="15.140625" style="25" customWidth="1"/>
    <col min="10" max="10" width="9.85546875" style="7" bestFit="1" customWidth="1"/>
    <col min="11" max="11" width="15.42578125" style="7" bestFit="1" customWidth="1"/>
    <col min="12" max="12" width="18.42578125" style="7" bestFit="1" customWidth="1"/>
    <col min="13" max="13" width="13.5703125" style="10" bestFit="1" customWidth="1"/>
    <col min="14" max="14" width="18.85546875" style="7" bestFit="1" customWidth="1"/>
    <col min="15" max="16" width="21.7109375" style="7" bestFit="1" customWidth="1"/>
  </cols>
  <sheetData>
    <row r="1" spans="1:16">
      <c r="A1" s="1" t="s">
        <v>30</v>
      </c>
      <c r="B1" s="2" t="s">
        <v>35</v>
      </c>
      <c r="C1" s="2" t="s">
        <v>36</v>
      </c>
      <c r="D1" s="3" t="s">
        <v>31</v>
      </c>
      <c r="E1" s="2" t="s">
        <v>39</v>
      </c>
      <c r="F1" s="2" t="s">
        <v>45</v>
      </c>
      <c r="G1" s="2" t="s">
        <v>46</v>
      </c>
      <c r="H1" s="2" t="s">
        <v>40</v>
      </c>
      <c r="I1" s="24" t="s">
        <v>43</v>
      </c>
      <c r="J1" s="2" t="s">
        <v>41</v>
      </c>
      <c r="K1" s="2" t="s">
        <v>42</v>
      </c>
      <c r="L1" s="2" t="s">
        <v>44</v>
      </c>
      <c r="M1" s="4" t="s">
        <v>32</v>
      </c>
      <c r="N1" s="2" t="s">
        <v>56</v>
      </c>
      <c r="O1" s="2" t="s">
        <v>33</v>
      </c>
      <c r="P1" s="5" t="s">
        <v>34</v>
      </c>
    </row>
    <row r="2" spans="1:16">
      <c r="A2" s="6" t="s">
        <v>0</v>
      </c>
      <c r="B2" s="7" t="s">
        <v>37</v>
      </c>
      <c r="C2" s="8">
        <v>349</v>
      </c>
      <c r="D2" s="9" t="s">
        <v>57</v>
      </c>
      <c r="E2" s="7">
        <v>300</v>
      </c>
      <c r="F2" s="7" t="s">
        <v>47</v>
      </c>
      <c r="G2" s="7" t="s">
        <v>51</v>
      </c>
      <c r="H2" s="7">
        <v>1</v>
      </c>
      <c r="I2" s="25">
        <v>255</v>
      </c>
      <c r="J2" s="7">
        <v>0</v>
      </c>
      <c r="K2" s="7">
        <v>2479.1999999999998</v>
      </c>
      <c r="L2" s="7">
        <v>313</v>
      </c>
      <c r="M2" s="10">
        <f>(O2-P2)*100/O2</f>
        <v>13.815789473684209</v>
      </c>
      <c r="N2" s="7">
        <v>50</v>
      </c>
      <c r="O2" s="7">
        <v>30.4</v>
      </c>
      <c r="P2" s="11">
        <v>26.2</v>
      </c>
    </row>
    <row r="3" spans="1:16">
      <c r="A3" s="6" t="s">
        <v>1</v>
      </c>
      <c r="B3" s="7" t="s">
        <v>37</v>
      </c>
      <c r="C3" s="8">
        <v>349</v>
      </c>
      <c r="D3" s="9" t="s">
        <v>57</v>
      </c>
      <c r="E3" s="7">
        <v>300</v>
      </c>
      <c r="F3" s="7" t="s">
        <v>47</v>
      </c>
      <c r="G3" s="7" t="s">
        <v>51</v>
      </c>
      <c r="H3" s="7">
        <v>1</v>
      </c>
      <c r="I3" s="25">
        <v>414</v>
      </c>
      <c r="J3" s="7">
        <v>0</v>
      </c>
      <c r="K3" s="7">
        <v>5010.1000000000004</v>
      </c>
      <c r="L3" s="7">
        <v>101</v>
      </c>
      <c r="M3" s="10">
        <f t="shared" ref="M3:M31" si="0">(O3-P3)*100/O3</f>
        <v>13.119533527696785</v>
      </c>
      <c r="N3" s="7">
        <v>60</v>
      </c>
      <c r="O3" s="7">
        <v>34.299999999999997</v>
      </c>
      <c r="P3" s="11">
        <v>29.8</v>
      </c>
    </row>
    <row r="4" spans="1:16">
      <c r="A4" s="6" t="s">
        <v>2</v>
      </c>
      <c r="B4" s="7" t="s">
        <v>38</v>
      </c>
      <c r="C4" s="8">
        <v>281</v>
      </c>
      <c r="D4" s="9" t="s">
        <v>57</v>
      </c>
      <c r="E4" s="7">
        <v>300</v>
      </c>
      <c r="F4" s="7" t="s">
        <v>47</v>
      </c>
      <c r="G4" s="7" t="s">
        <v>51</v>
      </c>
      <c r="H4" s="7">
        <v>1</v>
      </c>
      <c r="I4" s="25">
        <v>276</v>
      </c>
      <c r="J4" s="7">
        <v>0</v>
      </c>
      <c r="K4" s="7">
        <v>3116.8</v>
      </c>
      <c r="L4" s="7">
        <v>201</v>
      </c>
      <c r="M4" s="10">
        <f t="shared" si="0"/>
        <v>12.76595744680851</v>
      </c>
      <c r="N4" s="7">
        <v>35</v>
      </c>
      <c r="O4" s="7">
        <v>23.5</v>
      </c>
      <c r="P4" s="11">
        <v>20.5</v>
      </c>
    </row>
    <row r="5" spans="1:16">
      <c r="A5" s="6" t="s">
        <v>3</v>
      </c>
      <c r="B5" s="7" t="s">
        <v>38</v>
      </c>
      <c r="C5" s="8">
        <v>315</v>
      </c>
      <c r="D5" s="9" t="s">
        <v>57</v>
      </c>
      <c r="E5" s="7">
        <v>300</v>
      </c>
      <c r="F5" s="7" t="s">
        <v>47</v>
      </c>
      <c r="G5" s="7" t="s">
        <v>51</v>
      </c>
      <c r="H5" s="7">
        <v>1</v>
      </c>
      <c r="I5" s="25">
        <v>503</v>
      </c>
      <c r="J5" s="7">
        <v>0</v>
      </c>
      <c r="K5" s="7">
        <v>2419.6999999999998</v>
      </c>
      <c r="L5" s="7">
        <v>222</v>
      </c>
      <c r="M5" s="10">
        <f t="shared" si="0"/>
        <v>10.204081632653061</v>
      </c>
      <c r="N5" s="7">
        <v>20</v>
      </c>
      <c r="O5" s="7">
        <v>24.5</v>
      </c>
      <c r="P5" s="11">
        <v>22</v>
      </c>
    </row>
    <row r="6" spans="1:16">
      <c r="A6" s="6" t="s">
        <v>4</v>
      </c>
      <c r="B6" s="7" t="s">
        <v>38</v>
      </c>
      <c r="C6" s="8">
        <v>473</v>
      </c>
      <c r="D6" s="9" t="s">
        <v>57</v>
      </c>
      <c r="E6" s="7">
        <v>300</v>
      </c>
      <c r="F6" s="7" t="s">
        <v>48</v>
      </c>
      <c r="G6" s="7" t="s">
        <v>51</v>
      </c>
      <c r="H6" s="7">
        <v>1</v>
      </c>
      <c r="I6" s="25">
        <v>413</v>
      </c>
      <c r="J6" s="7">
        <v>0</v>
      </c>
      <c r="K6" s="7">
        <v>2877.5</v>
      </c>
      <c r="L6" s="7">
        <v>179</v>
      </c>
      <c r="M6" s="10">
        <f t="shared" si="0"/>
        <v>9.4117647058823479</v>
      </c>
      <c r="N6" s="7">
        <v>10</v>
      </c>
      <c r="O6" s="7">
        <v>25.5</v>
      </c>
      <c r="P6" s="11">
        <v>23.1</v>
      </c>
    </row>
    <row r="7" spans="1:16">
      <c r="A7" s="6" t="s">
        <v>5</v>
      </c>
      <c r="B7" s="7" t="s">
        <v>38</v>
      </c>
      <c r="C7" s="8">
        <v>480</v>
      </c>
      <c r="D7" s="9" t="s">
        <v>57</v>
      </c>
      <c r="E7" s="7">
        <v>400</v>
      </c>
      <c r="F7" s="7" t="s">
        <v>48</v>
      </c>
      <c r="G7" s="7" t="s">
        <v>52</v>
      </c>
      <c r="H7" s="7">
        <v>2</v>
      </c>
      <c r="I7" s="25">
        <v>353</v>
      </c>
      <c r="J7" s="7">
        <v>0</v>
      </c>
      <c r="K7" s="7">
        <v>1891.6</v>
      </c>
      <c r="L7" s="7">
        <v>271</v>
      </c>
      <c r="M7" s="10">
        <f t="shared" si="0"/>
        <v>11.481481481481486</v>
      </c>
      <c r="N7" s="7">
        <v>25</v>
      </c>
      <c r="O7" s="7">
        <v>27</v>
      </c>
      <c r="P7" s="11">
        <v>23.9</v>
      </c>
    </row>
    <row r="8" spans="1:16">
      <c r="A8" s="6" t="s">
        <v>6</v>
      </c>
      <c r="B8" s="7" t="s">
        <v>38</v>
      </c>
      <c r="C8" s="8">
        <v>469</v>
      </c>
      <c r="D8" s="9" t="s">
        <v>57</v>
      </c>
      <c r="E8" s="7">
        <v>400</v>
      </c>
      <c r="F8" s="7" t="s">
        <v>48</v>
      </c>
      <c r="G8" s="7" t="s">
        <v>52</v>
      </c>
      <c r="H8" s="7">
        <v>2</v>
      </c>
      <c r="I8" s="25">
        <v>580</v>
      </c>
      <c r="J8" s="7">
        <v>0</v>
      </c>
      <c r="K8" s="7">
        <v>4096.2</v>
      </c>
      <c r="L8" s="7">
        <v>140</v>
      </c>
      <c r="M8" s="10">
        <f t="shared" si="0"/>
        <v>10.626702997275219</v>
      </c>
      <c r="N8" s="7">
        <v>40</v>
      </c>
      <c r="O8" s="7">
        <v>36.700000000000003</v>
      </c>
      <c r="P8" s="11">
        <v>32.799999999999997</v>
      </c>
    </row>
    <row r="9" spans="1:16">
      <c r="A9" s="6" t="s">
        <v>7</v>
      </c>
      <c r="B9" s="7" t="s">
        <v>38</v>
      </c>
      <c r="C9" s="8">
        <v>454</v>
      </c>
      <c r="D9" s="9" t="s">
        <v>57</v>
      </c>
      <c r="E9" s="7">
        <v>400</v>
      </c>
      <c r="F9" s="7" t="s">
        <v>48</v>
      </c>
      <c r="G9" s="7" t="s">
        <v>52</v>
      </c>
      <c r="H9" s="7">
        <v>2</v>
      </c>
      <c r="I9" s="25">
        <v>270</v>
      </c>
      <c r="J9" s="7">
        <v>0</v>
      </c>
      <c r="K9" s="7">
        <v>2790.7</v>
      </c>
      <c r="L9" s="7">
        <v>137</v>
      </c>
      <c r="M9" s="10">
        <f t="shared" si="0"/>
        <v>12.252964426877474</v>
      </c>
      <c r="N9" s="7">
        <v>20</v>
      </c>
      <c r="O9" s="7">
        <v>25.3</v>
      </c>
      <c r="P9" s="11">
        <v>22.2</v>
      </c>
    </row>
    <row r="10" spans="1:16">
      <c r="A10" s="6" t="s">
        <v>8</v>
      </c>
      <c r="B10" s="7" t="s">
        <v>38</v>
      </c>
      <c r="C10" s="8">
        <v>462</v>
      </c>
      <c r="D10" s="9" t="s">
        <v>57</v>
      </c>
      <c r="E10" s="7">
        <v>400</v>
      </c>
      <c r="F10" s="7" t="s">
        <v>48</v>
      </c>
      <c r="G10" s="7" t="s">
        <v>52</v>
      </c>
      <c r="H10" s="7">
        <v>2</v>
      </c>
      <c r="I10" s="25">
        <v>600</v>
      </c>
      <c r="J10" s="7">
        <v>1</v>
      </c>
      <c r="K10" s="7">
        <v>4049.9</v>
      </c>
      <c r="L10" s="7">
        <v>61</v>
      </c>
      <c r="M10" s="10">
        <f t="shared" si="0"/>
        <v>13.832853025936611</v>
      </c>
      <c r="N10" s="7">
        <v>60</v>
      </c>
      <c r="O10" s="7">
        <v>34.700000000000003</v>
      </c>
      <c r="P10" s="11">
        <v>29.9</v>
      </c>
    </row>
    <row r="11" spans="1:16">
      <c r="A11" s="6" t="s">
        <v>9</v>
      </c>
      <c r="B11" s="7" t="s">
        <v>38</v>
      </c>
      <c r="C11" s="8">
        <v>446</v>
      </c>
      <c r="D11" s="9" t="s">
        <v>57</v>
      </c>
      <c r="E11" s="7">
        <v>400</v>
      </c>
      <c r="F11" s="7" t="s">
        <v>48</v>
      </c>
      <c r="G11" s="7" t="s">
        <v>52</v>
      </c>
      <c r="H11" s="7">
        <v>2</v>
      </c>
      <c r="I11" s="25">
        <v>210</v>
      </c>
      <c r="J11" s="7">
        <v>0</v>
      </c>
      <c r="K11" s="7">
        <v>2883.3</v>
      </c>
      <c r="L11" s="7">
        <v>253</v>
      </c>
      <c r="M11" s="10">
        <f t="shared" si="0"/>
        <v>11.742424242424235</v>
      </c>
      <c r="N11" s="7">
        <v>10</v>
      </c>
      <c r="O11" s="7">
        <v>26.4</v>
      </c>
      <c r="P11" s="11">
        <v>23.3</v>
      </c>
    </row>
    <row r="12" spans="1:16">
      <c r="A12" s="12" t="s">
        <v>10</v>
      </c>
      <c r="B12" s="13" t="s">
        <v>38</v>
      </c>
      <c r="C12" s="14">
        <v>495</v>
      </c>
      <c r="D12" s="15" t="s">
        <v>58</v>
      </c>
      <c r="E12" s="13">
        <v>400</v>
      </c>
      <c r="F12" s="13" t="s">
        <v>49</v>
      </c>
      <c r="G12" s="13" t="s">
        <v>53</v>
      </c>
      <c r="H12" s="13">
        <v>3</v>
      </c>
      <c r="I12" s="26">
        <v>535</v>
      </c>
      <c r="J12" s="13">
        <v>0</v>
      </c>
      <c r="K12" s="13">
        <v>2096</v>
      </c>
      <c r="L12" s="13">
        <v>55</v>
      </c>
      <c r="M12" s="16">
        <f t="shared" si="0"/>
        <v>14.042553191489365</v>
      </c>
      <c r="N12" s="13">
        <v>40</v>
      </c>
      <c r="O12" s="13">
        <v>23.5</v>
      </c>
      <c r="P12" s="17">
        <v>20.2</v>
      </c>
    </row>
    <row r="13" spans="1:16">
      <c r="A13" s="6" t="s">
        <v>11</v>
      </c>
      <c r="B13" s="7" t="s">
        <v>38</v>
      </c>
      <c r="C13" s="8">
        <v>474</v>
      </c>
      <c r="D13" s="9" t="s">
        <v>58</v>
      </c>
      <c r="E13" s="7">
        <v>400</v>
      </c>
      <c r="F13" s="7" t="s">
        <v>49</v>
      </c>
      <c r="G13" s="7" t="s">
        <v>53</v>
      </c>
      <c r="H13" s="7">
        <v>3</v>
      </c>
      <c r="I13" s="25">
        <v>532</v>
      </c>
      <c r="J13" s="7">
        <v>0</v>
      </c>
      <c r="K13" s="7">
        <v>3475.8</v>
      </c>
      <c r="L13" s="7">
        <v>151</v>
      </c>
      <c r="M13" s="10">
        <f t="shared" si="0"/>
        <v>12.692307692307695</v>
      </c>
      <c r="N13" s="7">
        <v>30</v>
      </c>
      <c r="O13" s="7">
        <v>26</v>
      </c>
      <c r="P13" s="11">
        <v>22.7</v>
      </c>
    </row>
    <row r="14" spans="1:16">
      <c r="A14" s="6" t="s">
        <v>12</v>
      </c>
      <c r="B14" s="7" t="s">
        <v>38</v>
      </c>
      <c r="C14" s="8">
        <v>474</v>
      </c>
      <c r="D14" s="9" t="s">
        <v>58</v>
      </c>
      <c r="E14" s="7">
        <v>400</v>
      </c>
      <c r="F14" s="7" t="s">
        <v>49</v>
      </c>
      <c r="G14" s="7" t="s">
        <v>53</v>
      </c>
      <c r="H14" s="7">
        <v>3</v>
      </c>
      <c r="I14" s="25">
        <v>283</v>
      </c>
      <c r="J14" s="7">
        <v>0</v>
      </c>
      <c r="K14" s="7">
        <v>3551.8</v>
      </c>
      <c r="L14" s="7">
        <v>246</v>
      </c>
      <c r="M14" s="10">
        <f t="shared" si="0"/>
        <v>15.849056603773583</v>
      </c>
      <c r="N14" s="7">
        <v>20</v>
      </c>
      <c r="O14" s="7">
        <v>26.5</v>
      </c>
      <c r="P14" s="11">
        <v>22.3</v>
      </c>
    </row>
    <row r="15" spans="1:16">
      <c r="A15" s="6" t="s">
        <v>13</v>
      </c>
      <c r="B15" s="7" t="s">
        <v>38</v>
      </c>
      <c r="C15" s="8">
        <v>454</v>
      </c>
      <c r="D15" s="9" t="s">
        <v>58</v>
      </c>
      <c r="E15" s="7">
        <v>400</v>
      </c>
      <c r="F15" s="7" t="s">
        <v>49</v>
      </c>
      <c r="G15" s="7" t="s">
        <v>53</v>
      </c>
      <c r="H15" s="7">
        <v>3</v>
      </c>
      <c r="I15" s="25">
        <v>530</v>
      </c>
      <c r="J15" s="7">
        <v>0</v>
      </c>
      <c r="K15" s="7">
        <v>2549.6</v>
      </c>
      <c r="L15" s="7">
        <v>158</v>
      </c>
      <c r="M15" s="10">
        <f t="shared" si="0"/>
        <v>14.112903225806452</v>
      </c>
      <c r="N15" s="7">
        <v>210</v>
      </c>
      <c r="O15" s="7">
        <v>24.8</v>
      </c>
      <c r="P15" s="11">
        <v>21.3</v>
      </c>
    </row>
    <row r="16" spans="1:16">
      <c r="A16" s="6" t="s">
        <v>14</v>
      </c>
      <c r="B16" s="7" t="s">
        <v>38</v>
      </c>
      <c r="C16" s="8">
        <v>467</v>
      </c>
      <c r="D16" s="9" t="s">
        <v>58</v>
      </c>
      <c r="E16" s="7">
        <v>400</v>
      </c>
      <c r="F16" s="7" t="s">
        <v>49</v>
      </c>
      <c r="G16" s="7" t="s">
        <v>53</v>
      </c>
      <c r="H16" s="7">
        <v>3</v>
      </c>
      <c r="I16" s="25">
        <v>600</v>
      </c>
      <c r="J16" s="7">
        <v>1</v>
      </c>
      <c r="K16" s="7">
        <v>1155.2</v>
      </c>
      <c r="L16" s="7">
        <v>119</v>
      </c>
      <c r="M16" s="10">
        <f t="shared" si="0"/>
        <v>11.05769230769231</v>
      </c>
      <c r="N16" s="7">
        <v>55</v>
      </c>
      <c r="O16" s="7">
        <v>20.8</v>
      </c>
      <c r="P16" s="11">
        <v>18.5</v>
      </c>
    </row>
    <row r="17" spans="1:16">
      <c r="A17" s="6" t="s">
        <v>15</v>
      </c>
      <c r="B17" s="7" t="s">
        <v>37</v>
      </c>
      <c r="C17" s="8">
        <v>281</v>
      </c>
      <c r="D17" s="9" t="s">
        <v>58</v>
      </c>
      <c r="E17" s="7">
        <v>400</v>
      </c>
      <c r="F17" s="7" t="s">
        <v>49</v>
      </c>
      <c r="G17" s="7" t="s">
        <v>50</v>
      </c>
      <c r="H17" s="7">
        <v>4</v>
      </c>
      <c r="I17" s="25">
        <v>300</v>
      </c>
      <c r="J17" s="7">
        <v>0</v>
      </c>
      <c r="K17" s="7">
        <v>3162.6</v>
      </c>
      <c r="L17" s="7">
        <v>214</v>
      </c>
      <c r="M17" s="10">
        <f t="shared" si="0"/>
        <v>13.592233009708737</v>
      </c>
      <c r="N17" s="7">
        <v>20</v>
      </c>
      <c r="O17" s="7">
        <v>30.9</v>
      </c>
      <c r="P17" s="11">
        <v>26.7</v>
      </c>
    </row>
    <row r="18" spans="1:16">
      <c r="A18" s="6" t="s">
        <v>16</v>
      </c>
      <c r="B18" s="7" t="s">
        <v>38</v>
      </c>
      <c r="C18" s="8">
        <v>320</v>
      </c>
      <c r="D18" s="9" t="s">
        <v>58</v>
      </c>
      <c r="E18" s="7">
        <v>400</v>
      </c>
      <c r="F18" s="7" t="s">
        <v>49</v>
      </c>
      <c r="G18" s="7" t="s">
        <v>50</v>
      </c>
      <c r="H18" s="7">
        <v>4</v>
      </c>
      <c r="I18" s="25">
        <v>518</v>
      </c>
      <c r="J18" s="7">
        <v>0</v>
      </c>
      <c r="K18" s="7">
        <v>3158.9</v>
      </c>
      <c r="L18" s="7">
        <v>139</v>
      </c>
      <c r="M18" s="10">
        <f t="shared" si="0"/>
        <v>24.175824175824179</v>
      </c>
      <c r="N18" s="7">
        <v>30</v>
      </c>
      <c r="O18" s="7">
        <v>27.3</v>
      </c>
      <c r="P18" s="11">
        <v>20.7</v>
      </c>
    </row>
    <row r="19" spans="1:16">
      <c r="A19" s="6" t="s">
        <v>17</v>
      </c>
      <c r="B19" s="7" t="s">
        <v>37</v>
      </c>
      <c r="C19" s="8">
        <v>348</v>
      </c>
      <c r="D19" s="9" t="s">
        <v>58</v>
      </c>
      <c r="E19" s="7">
        <v>400</v>
      </c>
      <c r="F19" s="7" t="s">
        <v>49</v>
      </c>
      <c r="G19" s="7" t="s">
        <v>50</v>
      </c>
      <c r="H19" s="7">
        <v>4</v>
      </c>
      <c r="I19" s="25">
        <v>341</v>
      </c>
      <c r="J19" s="7">
        <v>0</v>
      </c>
      <c r="K19" s="7">
        <v>2766.5</v>
      </c>
      <c r="L19" s="7">
        <v>70</v>
      </c>
      <c r="M19" s="10">
        <f t="shared" si="0"/>
        <v>11.409395973154369</v>
      </c>
      <c r="N19" s="7">
        <v>23</v>
      </c>
      <c r="O19" s="7">
        <v>29.8</v>
      </c>
      <c r="P19" s="11">
        <v>26.4</v>
      </c>
    </row>
    <row r="20" spans="1:16">
      <c r="A20" s="6" t="s">
        <v>18</v>
      </c>
      <c r="B20" s="7" t="s">
        <v>38</v>
      </c>
      <c r="C20" s="8">
        <v>474</v>
      </c>
      <c r="D20" s="9" t="s">
        <v>58</v>
      </c>
      <c r="E20" s="7">
        <v>400</v>
      </c>
      <c r="F20" s="7" t="s">
        <v>49</v>
      </c>
      <c r="G20" s="7" t="s">
        <v>50</v>
      </c>
      <c r="H20" s="7">
        <v>4</v>
      </c>
      <c r="I20" s="25">
        <v>361</v>
      </c>
      <c r="J20" s="7">
        <v>0</v>
      </c>
      <c r="K20" s="7">
        <v>2746.3</v>
      </c>
      <c r="L20" s="7">
        <v>197</v>
      </c>
      <c r="M20" s="10">
        <f t="shared" si="0"/>
        <v>13.768115942028986</v>
      </c>
      <c r="N20" s="7">
        <v>120</v>
      </c>
      <c r="O20" s="7">
        <v>27.6</v>
      </c>
      <c r="P20" s="11">
        <v>23.8</v>
      </c>
    </row>
    <row r="21" spans="1:16">
      <c r="A21" s="18" t="s">
        <v>19</v>
      </c>
      <c r="B21" s="19" t="s">
        <v>37</v>
      </c>
      <c r="C21" s="20">
        <v>349</v>
      </c>
      <c r="D21" s="21" t="s">
        <v>58</v>
      </c>
      <c r="E21" s="19">
        <v>400</v>
      </c>
      <c r="F21" s="19" t="s">
        <v>49</v>
      </c>
      <c r="G21" s="19" t="s">
        <v>50</v>
      </c>
      <c r="H21" s="19">
        <v>4</v>
      </c>
      <c r="I21" s="27">
        <v>318</v>
      </c>
      <c r="J21" s="19">
        <v>0</v>
      </c>
      <c r="K21" s="19">
        <v>3600.4</v>
      </c>
      <c r="L21" s="19">
        <v>219</v>
      </c>
      <c r="M21" s="22">
        <f t="shared" si="0"/>
        <v>14.772727272727279</v>
      </c>
      <c r="N21" s="19">
        <v>15</v>
      </c>
      <c r="O21" s="19">
        <v>35.200000000000003</v>
      </c>
      <c r="P21" s="23">
        <v>30</v>
      </c>
    </row>
    <row r="22" spans="1:16">
      <c r="A22" s="6" t="s">
        <v>20</v>
      </c>
      <c r="B22" s="7" t="s">
        <v>38</v>
      </c>
      <c r="C22" s="8">
        <v>488</v>
      </c>
      <c r="D22" s="9" t="s">
        <v>59</v>
      </c>
      <c r="E22" s="7">
        <v>400</v>
      </c>
      <c r="F22" s="7" t="s">
        <v>50</v>
      </c>
      <c r="G22" s="7" t="s">
        <v>54</v>
      </c>
      <c r="H22" s="7">
        <v>5</v>
      </c>
      <c r="I22" s="25">
        <v>71</v>
      </c>
      <c r="J22" s="7">
        <v>0</v>
      </c>
      <c r="K22" s="7">
        <v>3690.4</v>
      </c>
      <c r="L22" s="7">
        <v>96</v>
      </c>
      <c r="M22" s="10">
        <f t="shared" si="0"/>
        <v>14.444444444444441</v>
      </c>
      <c r="N22" s="7">
        <v>22</v>
      </c>
      <c r="O22" s="7">
        <v>27</v>
      </c>
      <c r="P22" s="11">
        <v>23.1</v>
      </c>
    </row>
    <row r="23" spans="1:16">
      <c r="A23" s="6" t="s">
        <v>21</v>
      </c>
      <c r="B23" s="7" t="s">
        <v>38</v>
      </c>
      <c r="C23" s="8">
        <v>475</v>
      </c>
      <c r="D23" s="9" t="s">
        <v>59</v>
      </c>
      <c r="E23" s="7">
        <v>400</v>
      </c>
      <c r="F23" s="7" t="s">
        <v>50</v>
      </c>
      <c r="G23" s="7" t="s">
        <v>54</v>
      </c>
      <c r="H23" s="7">
        <v>5</v>
      </c>
      <c r="I23" s="25">
        <v>297</v>
      </c>
      <c r="J23" s="7">
        <v>0</v>
      </c>
      <c r="K23" s="7">
        <v>4497.8999999999996</v>
      </c>
      <c r="L23" s="7">
        <v>97</v>
      </c>
      <c r="M23" s="10">
        <f t="shared" si="0"/>
        <v>7.7205882352941098</v>
      </c>
      <c r="N23" s="7">
        <v>300</v>
      </c>
      <c r="O23" s="7">
        <v>27.2</v>
      </c>
      <c r="P23" s="11">
        <v>25.1</v>
      </c>
    </row>
    <row r="24" spans="1:16">
      <c r="A24" s="6" t="s">
        <v>22</v>
      </c>
      <c r="B24" s="7" t="s">
        <v>38</v>
      </c>
      <c r="C24" s="8">
        <v>474</v>
      </c>
      <c r="D24" s="9" t="s">
        <v>59</v>
      </c>
      <c r="E24" s="7">
        <v>400</v>
      </c>
      <c r="F24" s="7" t="s">
        <v>50</v>
      </c>
      <c r="G24" s="7" t="s">
        <v>54</v>
      </c>
      <c r="H24" s="7">
        <v>5</v>
      </c>
      <c r="I24" s="25">
        <v>339</v>
      </c>
      <c r="J24" s="7">
        <v>0</v>
      </c>
      <c r="K24" s="7">
        <v>3497.4</v>
      </c>
      <c r="L24" s="7">
        <v>42</v>
      </c>
      <c r="M24" s="10">
        <f t="shared" si="0"/>
        <v>10.139860139860147</v>
      </c>
      <c r="N24" s="7">
        <v>46</v>
      </c>
      <c r="O24" s="7">
        <v>28.6</v>
      </c>
      <c r="P24" s="11">
        <v>25.7</v>
      </c>
    </row>
    <row r="25" spans="1:16">
      <c r="A25" s="6" t="s">
        <v>23</v>
      </c>
      <c r="B25" s="7" t="s">
        <v>38</v>
      </c>
      <c r="C25" s="8">
        <v>454</v>
      </c>
      <c r="D25" s="9" t="s">
        <v>59</v>
      </c>
      <c r="E25" s="7">
        <v>400</v>
      </c>
      <c r="F25" s="7" t="s">
        <v>50</v>
      </c>
      <c r="G25" s="7" t="s">
        <v>54</v>
      </c>
      <c r="H25" s="7">
        <v>5</v>
      </c>
      <c r="I25" s="25">
        <v>216</v>
      </c>
      <c r="J25" s="7">
        <v>0</v>
      </c>
      <c r="K25" s="7">
        <v>3244.2</v>
      </c>
      <c r="L25" s="7">
        <v>83</v>
      </c>
      <c r="M25" s="10">
        <f t="shared" si="0"/>
        <v>12.878787878787875</v>
      </c>
      <c r="N25" s="7">
        <v>300</v>
      </c>
      <c r="O25" s="7">
        <v>26.4</v>
      </c>
      <c r="P25" s="11">
        <v>23</v>
      </c>
    </row>
    <row r="26" spans="1:16">
      <c r="A26" s="6" t="s">
        <v>24</v>
      </c>
      <c r="B26" s="7" t="s">
        <v>37</v>
      </c>
      <c r="C26" s="8">
        <v>322</v>
      </c>
      <c r="D26" s="9" t="s">
        <v>59</v>
      </c>
      <c r="E26" s="7">
        <v>400</v>
      </c>
      <c r="F26" s="7" t="s">
        <v>50</v>
      </c>
      <c r="G26" s="7" t="s">
        <v>54</v>
      </c>
      <c r="H26" s="7">
        <v>5</v>
      </c>
      <c r="I26" s="25">
        <v>197</v>
      </c>
      <c r="J26" s="7">
        <v>0</v>
      </c>
      <c r="K26" s="7">
        <v>2943</v>
      </c>
      <c r="L26" s="7">
        <v>204</v>
      </c>
      <c r="M26" s="10">
        <f t="shared" si="0"/>
        <v>10.738255033557046</v>
      </c>
      <c r="N26" s="7">
        <v>300</v>
      </c>
      <c r="O26" s="7">
        <v>29.8</v>
      </c>
      <c r="P26" s="11">
        <v>26.6</v>
      </c>
    </row>
    <row r="27" spans="1:16">
      <c r="A27" s="6" t="s">
        <v>25</v>
      </c>
      <c r="B27" s="7" t="s">
        <v>38</v>
      </c>
      <c r="C27" s="8">
        <v>281</v>
      </c>
      <c r="D27" s="9" t="s">
        <v>59</v>
      </c>
      <c r="E27" s="7">
        <v>400</v>
      </c>
      <c r="F27" s="7" t="s">
        <v>50</v>
      </c>
      <c r="G27" s="7" t="s">
        <v>55</v>
      </c>
      <c r="H27" s="7">
        <v>6</v>
      </c>
      <c r="I27" s="25">
        <v>314</v>
      </c>
      <c r="J27" s="7">
        <v>0</v>
      </c>
      <c r="K27" s="7">
        <v>3127.2</v>
      </c>
      <c r="L27" s="7">
        <v>70</v>
      </c>
      <c r="M27" s="10">
        <f t="shared" si="0"/>
        <v>5.7915057915057915</v>
      </c>
      <c r="N27" s="7">
        <v>80</v>
      </c>
      <c r="O27" s="7">
        <v>25.9</v>
      </c>
      <c r="P27" s="11">
        <v>24.4</v>
      </c>
    </row>
    <row r="28" spans="1:16">
      <c r="A28" s="6" t="s">
        <v>26</v>
      </c>
      <c r="B28" s="7" t="s">
        <v>37</v>
      </c>
      <c r="C28" s="8">
        <v>281</v>
      </c>
      <c r="D28" s="9" t="s">
        <v>59</v>
      </c>
      <c r="E28" s="7">
        <v>400</v>
      </c>
      <c r="F28" s="7" t="s">
        <v>50</v>
      </c>
      <c r="G28" s="7" t="s">
        <v>55</v>
      </c>
      <c r="H28" s="7">
        <v>6</v>
      </c>
      <c r="I28" s="25">
        <v>217</v>
      </c>
      <c r="J28" s="7">
        <v>0</v>
      </c>
      <c r="K28" s="7">
        <v>2857.1</v>
      </c>
      <c r="L28" s="7">
        <v>22</v>
      </c>
      <c r="M28" s="10">
        <f t="shared" si="0"/>
        <v>14.906832298136658</v>
      </c>
      <c r="N28" s="7">
        <v>25</v>
      </c>
      <c r="O28" s="7">
        <v>32.200000000000003</v>
      </c>
      <c r="P28" s="11">
        <v>27.4</v>
      </c>
    </row>
    <row r="29" spans="1:16">
      <c r="A29" s="6" t="s">
        <v>27</v>
      </c>
      <c r="B29" s="7" t="s">
        <v>38</v>
      </c>
      <c r="C29" s="8">
        <v>488</v>
      </c>
      <c r="D29" s="9" t="s">
        <v>59</v>
      </c>
      <c r="E29" s="7">
        <v>400</v>
      </c>
      <c r="F29" s="7" t="s">
        <v>50</v>
      </c>
      <c r="G29" s="7" t="s">
        <v>55</v>
      </c>
      <c r="H29" s="7">
        <v>6</v>
      </c>
      <c r="I29" s="25">
        <v>111</v>
      </c>
      <c r="J29" s="7">
        <v>0</v>
      </c>
      <c r="K29" s="7">
        <v>3423.4</v>
      </c>
      <c r="L29" s="7">
        <v>161</v>
      </c>
      <c r="M29" s="10">
        <f t="shared" si="0"/>
        <v>11.66666666666667</v>
      </c>
      <c r="N29" s="7">
        <v>120</v>
      </c>
      <c r="O29" s="7">
        <v>24</v>
      </c>
      <c r="P29" s="11">
        <v>21.2</v>
      </c>
    </row>
    <row r="30" spans="1:16">
      <c r="A30" s="6" t="s">
        <v>28</v>
      </c>
      <c r="B30" s="7" t="s">
        <v>38</v>
      </c>
      <c r="C30" s="8">
        <v>491</v>
      </c>
      <c r="D30" s="9" t="s">
        <v>59</v>
      </c>
      <c r="E30" s="7">
        <v>400</v>
      </c>
      <c r="F30" s="7" t="s">
        <v>50</v>
      </c>
      <c r="G30" s="7" t="s">
        <v>55</v>
      </c>
      <c r="H30" s="7">
        <v>6</v>
      </c>
      <c r="I30" s="25">
        <v>468</v>
      </c>
      <c r="J30" s="7">
        <v>0</v>
      </c>
      <c r="K30" s="7">
        <v>4161.7</v>
      </c>
      <c r="L30" s="7">
        <v>69</v>
      </c>
      <c r="M30" s="10">
        <f t="shared" si="0"/>
        <v>11.231884057971017</v>
      </c>
      <c r="N30" s="7">
        <v>300</v>
      </c>
      <c r="O30" s="7">
        <v>27.6</v>
      </c>
      <c r="P30" s="11">
        <v>24.5</v>
      </c>
    </row>
    <row r="31" spans="1:16">
      <c r="A31" s="18" t="s">
        <v>29</v>
      </c>
      <c r="B31" s="19" t="s">
        <v>38</v>
      </c>
      <c r="C31" s="20">
        <v>488</v>
      </c>
      <c r="D31" s="21" t="s">
        <v>59</v>
      </c>
      <c r="E31" s="19">
        <v>400</v>
      </c>
      <c r="F31" s="19" t="s">
        <v>50</v>
      </c>
      <c r="G31" s="19" t="s">
        <v>55</v>
      </c>
      <c r="H31" s="19">
        <v>6</v>
      </c>
      <c r="I31" s="27">
        <v>184</v>
      </c>
      <c r="J31" s="19">
        <v>0</v>
      </c>
      <c r="K31" s="19">
        <v>2540.3000000000002</v>
      </c>
      <c r="L31" s="19">
        <v>269</v>
      </c>
      <c r="M31" s="22">
        <f t="shared" si="0"/>
        <v>10.486891385767793</v>
      </c>
      <c r="N31" s="19">
        <v>110</v>
      </c>
      <c r="O31" s="19">
        <v>26.7</v>
      </c>
      <c r="P31" s="23">
        <v>23.9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NSFT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村野 友幸</dc:creator>
  <cp:lastModifiedBy>村野 友幸</cp:lastModifiedBy>
  <dcterms:created xsi:type="dcterms:W3CDTF">2025-08-27T03:50:47Z</dcterms:created>
  <dcterms:modified xsi:type="dcterms:W3CDTF">2025-09-01T00:34:56Z</dcterms:modified>
</cp:coreProperties>
</file>